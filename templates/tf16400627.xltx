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668"/>
  <workbookPr/>
  <mc:AlternateContent xmlns:mc="http://schemas.openxmlformats.org/markup-compatibility/2006">
    <mc:Choice Requires="x15">
      <x15ac:absPath xmlns:x15ac="http://schemas.microsoft.com/office/spreadsheetml/2010/11/ac" url="C:\Users\v-audrs\Desktop\Excel Templates\Accessibility Project\2017January\"/>
    </mc:Choice>
  </mc:AlternateContent>
  <bookViews>
    <workbookView xWindow="780" yWindow="15" windowWidth="21630" windowHeight="8100"/>
  </bookViews>
  <sheets>
    <sheet name="Mileage Log and Expense Report" sheetId="1" r:id="rId1"/>
  </sheets>
  <definedNames>
    <definedName name="ColumnTitle1">Expense[[#Headers],[Date]]</definedName>
    <definedName name="Mileage_Total">Expense[[#Totals],[Mileage]]</definedName>
    <definedName name="_xlnm.Print_Titles" localSheetId="0">'Mileage Log and Expense Report'!$8:$8</definedName>
    <definedName name="Reimbursement_Total">Expense[[#Totals],[Reimbursement]]</definedName>
    <definedName name="RowTitleRegion1..C6">'Mileage Log and Expense Report'!$B$3</definedName>
    <definedName name="RowTitleRegion2..E6">'Mileage Log and Expense Report'!$D$3</definedName>
  </definedNames>
  <calcPr calcId="171027"/>
</workbook>
</file>

<file path=xl/calcChain.xml><?xml version="1.0" encoding="utf-8"?>
<calcChain xmlns="http://schemas.openxmlformats.org/spreadsheetml/2006/main">
  <c r="I19" i="1" l="1"/>
  <c r="I18" i="1"/>
  <c r="I17" i="1"/>
  <c r="I16" i="1"/>
  <c r="I15" i="1"/>
  <c r="I14" i="1"/>
  <c r="I13" i="1"/>
  <c r="I12" i="1"/>
  <c r="I11" i="1"/>
  <c r="I10" i="1"/>
  <c r="I9" i="1"/>
  <c r="H19" i="1"/>
  <c r="H18" i="1"/>
  <c r="H17" i="1"/>
  <c r="H16" i="1"/>
  <c r="H15" i="1"/>
  <c r="H14" i="1"/>
  <c r="H13" i="1"/>
  <c r="H12" i="1"/>
  <c r="H11" i="1"/>
  <c r="H10" i="1"/>
  <c r="H9" i="1"/>
  <c r="E4" i="1" l="1"/>
  <c r="H20" i="1" l="1"/>
  <c r="E5" i="1" s="1"/>
  <c r="I20" i="1"/>
  <c r="E6" i="1" s="1"/>
</calcChain>
</file>

<file path=xl/sharedStrings.xml><?xml version="1.0" encoding="utf-8"?>
<sst xmlns="http://schemas.openxmlformats.org/spreadsheetml/2006/main" count="24" uniqueCount="21">
  <si>
    <t>Employee Name</t>
  </si>
  <si>
    <t>Employee ID</t>
  </si>
  <si>
    <t>Destination</t>
  </si>
  <si>
    <t>Starting Location</t>
  </si>
  <si>
    <t>Odometer Start</t>
  </si>
  <si>
    <t>Odometer End</t>
  </si>
  <si>
    <t>Total Mileage</t>
  </si>
  <si>
    <t>Reimbursement</t>
  </si>
  <si>
    <t>Mileage</t>
  </si>
  <si>
    <t>Total Reimbursement</t>
  </si>
  <si>
    <t>Date</t>
  </si>
  <si>
    <t>For Period</t>
  </si>
  <si>
    <t>Home Office</t>
  </si>
  <si>
    <t>Client Meeting</t>
  </si>
  <si>
    <t>Northwind Traders</t>
  </si>
  <si>
    <t>Description/Notes</t>
  </si>
  <si>
    <t>Rate Per Mile</t>
  </si>
  <si>
    <t>Authorized By</t>
  </si>
  <si>
    <t>Vehicle Description</t>
  </si>
  <si>
    <t>Totals</t>
  </si>
  <si>
    <t>Mileage Log and Expense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</si>
</sst>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2" formatCode="_(&quot;$&quot;* #,##0_);_(&quot;$&quot;* \(#,##0\);_(&quot;$&quot;* &quot;-&quot;_);_(@_)"/>
    <numFmt numFmtId="41" formatCode="_(* #,##0_);_(* \(#,##0\);_(* &quot;-&quot;_);_(@_)"/>
    <numFmt numFmtId="43" formatCode="_(* #,##0.00_);_(* \(#,##0.00\);_(* &quot;-&quot;??_);_(@_)"/>
    <numFmt numFmtId="164" formatCode="&quot;$&quot;#,##0.00"/>
  </numFmts>
  <fonts count="6" x14ac:knownFonts="1">
    <font>
      <sz val="11"/>
      <name val="Arial"/>
      <family val="2"/>
    </font>
    <font>
      <sz val="8"/>
      <name val="Arial"/>
      <family val="2"/>
    </font>
    <font>
      <sz val="11"/>
      <name val="Arial"/>
      <family val="2"/>
    </font>
    <font>
      <b/>
      <sz val="11"/>
      <name val="Arial"/>
      <family val="2"/>
      <scheme val="minor"/>
    </font>
    <font>
      <b/>
      <sz val="18"/>
      <color theme="1" tint="0.24994659260841701"/>
      <name val="Arial"/>
      <family val="2"/>
      <scheme val="major"/>
    </font>
    <font>
      <sz val="11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</borders>
  <cellStyleXfs count="15">
    <xf numFmtId="0" fontId="0" fillId="0" borderId="0">
      <alignment wrapText="1"/>
    </xf>
    <xf numFmtId="43" fontId="2" fillId="0" borderId="0" applyFill="0" applyBorder="0" applyAlignment="0" applyProtection="0"/>
    <xf numFmtId="41" fontId="2" fillId="0" borderId="0" applyFill="0" applyBorder="0" applyAlignment="0" applyProtection="0"/>
    <xf numFmtId="164" fontId="2" fillId="0" borderId="0" applyFont="0" applyFill="0" applyBorder="0" applyProtection="0">
      <alignment horizontal="right"/>
    </xf>
    <xf numFmtId="42" fontId="2" fillId="0" borderId="0" applyFill="0" applyBorder="0" applyAlignment="0" applyProtection="0"/>
    <xf numFmtId="9" fontId="2" fillId="0" borderId="0" applyFill="0" applyBorder="0" applyAlignment="0" applyProtection="0"/>
    <xf numFmtId="0" fontId="4" fillId="0" borderId="0" applyNumberFormat="0" applyFill="0" applyBorder="0" applyProtection="0">
      <alignment horizontal="left" indent="1"/>
    </xf>
    <xf numFmtId="0" fontId="3" fillId="0" borderId="0" applyNumberFormat="0" applyFill="0" applyProtection="0">
      <alignment horizontal="right" indent="1"/>
    </xf>
    <xf numFmtId="0" fontId="3" fillId="0" borderId="1" applyNumberFormat="0" applyFill="0" applyAlignment="0" applyProtection="0"/>
    <xf numFmtId="14" fontId="5" fillId="0" borderId="0" applyFill="0" applyProtection="0">
      <alignment horizontal="center"/>
    </xf>
    <xf numFmtId="0" fontId="2" fillId="0" borderId="0" applyNumberFormat="0" applyFont="0" applyFill="0" applyBorder="0" applyProtection="0">
      <alignment horizontal="right" wrapText="1"/>
    </xf>
    <xf numFmtId="0" fontId="3" fillId="0" borderId="0" applyNumberFormat="0" applyFill="0" applyProtection="0">
      <alignment horizontal="center"/>
    </xf>
    <xf numFmtId="0" fontId="3" fillId="0" borderId="2" applyNumberFormat="0" applyFill="0" applyAlignment="0" applyProtection="0"/>
    <xf numFmtId="0" fontId="3" fillId="0" borderId="0" applyNumberFormat="0" applyFill="0" applyBorder="0" applyAlignment="0" applyProtection="0"/>
    <xf numFmtId="1" fontId="2" fillId="0" borderId="0" applyFont="0" applyFill="0" applyBorder="0" applyAlignment="0">
      <alignment wrapText="1"/>
    </xf>
  </cellStyleXfs>
  <cellXfs count="13">
    <xf numFmtId="0" fontId="0" fillId="0" borderId="0" xfId="0">
      <alignment wrapText="1"/>
    </xf>
    <xf numFmtId="0" fontId="3" fillId="0" borderId="0" xfId="7">
      <alignment horizontal="right" indent="1"/>
    </xf>
    <xf numFmtId="0" fontId="3" fillId="0" borderId="1" xfId="8" applyAlignment="1">
      <alignment wrapText="1"/>
    </xf>
    <xf numFmtId="0" fontId="0" fillId="0" borderId="0" xfId="0" applyFont="1" applyFill="1" applyBorder="1">
      <alignment wrapText="1"/>
    </xf>
    <xf numFmtId="0" fontId="4" fillId="0" borderId="0" xfId="6">
      <alignment horizontal="left" indent="1"/>
    </xf>
    <xf numFmtId="14" fontId="5" fillId="0" borderId="0" xfId="9" applyFill="1">
      <alignment horizontal="center"/>
    </xf>
    <xf numFmtId="0" fontId="3" fillId="0" borderId="0" xfId="11" applyFill="1">
      <alignment horizontal="center"/>
    </xf>
    <xf numFmtId="1" fontId="0" fillId="0" borderId="0" xfId="14" applyFont="1" applyFill="1" applyBorder="1">
      <alignment wrapText="1"/>
    </xf>
    <xf numFmtId="1" fontId="3" fillId="0" borderId="1" xfId="14" applyFont="1" applyBorder="1" applyAlignment="1">
      <alignment wrapText="1"/>
    </xf>
    <xf numFmtId="164" fontId="3" fillId="0" borderId="1" xfId="3" applyFont="1" applyBorder="1">
      <alignment horizontal="right"/>
    </xf>
    <xf numFmtId="0" fontId="3" fillId="0" borderId="1" xfId="10" applyFont="1" applyBorder="1">
      <alignment horizontal="right" wrapText="1"/>
    </xf>
    <xf numFmtId="164" fontId="0" fillId="0" borderId="0" xfId="3" applyFont="1" applyFill="1" applyBorder="1">
      <alignment horizontal="right"/>
    </xf>
    <xf numFmtId="0" fontId="0" fillId="0" borderId="0" xfId="10" applyFont="1" applyFill="1" applyBorder="1">
      <alignment horizontal="right" wrapText="1"/>
    </xf>
  </cellXfs>
  <cellStyles count="15">
    <cellStyle name="Comma" xfId="1" builtinId="3" customBuiltin="1"/>
    <cellStyle name="Comma [0]" xfId="2" builtinId="6" customBuiltin="1"/>
    <cellStyle name="Currency" xfId="3" builtinId="4" customBuiltin="1"/>
    <cellStyle name="Currency [0]" xfId="4" builtinId="7" customBuiltin="1"/>
    <cellStyle name="Date" xfId="9"/>
    <cellStyle name="Heading 1" xfId="7" builtinId="16" customBuiltin="1"/>
    <cellStyle name="Heading 2" xfId="11" builtinId="17" customBuiltin="1"/>
    <cellStyle name="Heading 3" xfId="12" builtinId="18" customBuiltin="1"/>
    <cellStyle name="Heading 4" xfId="13" builtinId="19" customBuiltin="1"/>
    <cellStyle name="Input box" xfId="8"/>
    <cellStyle name="Mileage" xfId="14"/>
    <cellStyle name="Normal" xfId="0" builtinId="0" customBuiltin="1"/>
    <cellStyle name="Percent" xfId="5" builtinId="5" customBuiltin="1"/>
    <cellStyle name="Right align" xfId="10"/>
    <cellStyle name="Title" xfId="6" builtinId="15" customBuiltin="1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</dxf>
  </dxfs>
  <tableStyles count="0" defaultTableStyle="TableStyleLight1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F3FCFF"/>
      <rgbColor rgb="00FFFF99"/>
      <rgbColor rgb="0099CCFF"/>
      <rgbColor rgb="00EAEAEA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454F67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Expense" displayName="Expense" ref="B8:I20" totalsRowCount="1" headerRowCellStyle="Heading 2">
  <autoFilter ref="B8:I19"/>
  <tableColumns count="8">
    <tableColumn id="1" name="Date" dataDxfId="7" dataCellStyle="Date"/>
    <tableColumn id="2" name="Starting Location" totalsRowDxfId="6"/>
    <tableColumn id="3" name="Destination" totalsRowDxfId="5"/>
    <tableColumn id="4" name="Description/Notes" totalsRowDxfId="4"/>
    <tableColumn id="5" name="Odometer Start" totalsRowDxfId="3"/>
    <tableColumn id="6" name="Odometer End" totalsRowLabel="Totals" totalsRowDxfId="2" totalsRowCellStyle="Right align"/>
    <tableColumn id="7" name="Mileage" totalsRowFunction="sum" totalsRowDxfId="1" dataCellStyle="Mileage">
      <calculatedColumnFormula>IFERROR(IF(OR(ISBLANK(F9),ISBLANK(G9)),0,G9-F9), "")</calculatedColumnFormula>
    </tableColumn>
    <tableColumn id="8" name="Reimbursement" totalsRowFunction="sum" totalsRowDxfId="0" dataCellStyle="Currency" totalsRowCellStyle="Currency">
      <calculatedColumnFormula>IFERROR(H9*$E$3, "")</calculatedColumnFormula>
    </tableColumn>
  </tableColumns>
  <tableStyleInfo name="TableStyleLight1" showFirstColumn="0" showLastColumn="0" showRowStripes="1" showColumnStripes="0"/>
  <extLst>
    <ext xmlns:x14="http://schemas.microsoft.com/office/spreadsheetml/2009/9/main" uri="{504A1905-F514-4f6f-8877-14C23A59335A}">
      <x14:table altTextSummary="Enter Date, Starting Location, Destination, Description or Notes, Odometer Start, Odometer End, Mileage, and Reimbursement 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 tint="-4.9989318521683403E-2"/>
    <pageSetUpPr fitToPage="1"/>
  </sheetPr>
  <dimension ref="B1:I20"/>
  <sheetViews>
    <sheetView showGridLines="0" tabSelected="1" zoomScaleNormal="100" workbookViewId="0">
      <pane ySplit="8" topLeftCell="A9" activePane="bottomLeft" state="frozenSplit"/>
      <selection pane="bottomLeft"/>
    </sheetView>
  </sheetViews>
  <sheetFormatPr defaultRowHeight="30" customHeight="1" x14ac:dyDescent="0.2"/>
  <cols>
    <col min="1" max="1" width="2.625" customWidth="1"/>
    <col min="2" max="2" width="22.75" customWidth="1"/>
    <col min="3" max="4" width="26.125" customWidth="1"/>
    <col min="5" max="5" width="27.625" customWidth="1"/>
    <col min="6" max="6" width="22" customWidth="1"/>
    <col min="7" max="7" width="24.125" customWidth="1"/>
    <col min="8" max="8" width="15.375" customWidth="1"/>
    <col min="9" max="9" width="24.875" customWidth="1"/>
    <col min="10" max="10" width="2.625" customWidth="1"/>
  </cols>
  <sheetData>
    <row r="1" spans="2:9" ht="37.5" customHeight="1" x14ac:dyDescent="0.35">
      <c r="B1" s="4" t="s">
        <v>20</v>
      </c>
    </row>
    <row r="2" spans="2:9" ht="15" customHeight="1" x14ac:dyDescent="0.2"/>
    <row r="3" spans="2:9" ht="30" customHeight="1" x14ac:dyDescent="0.25">
      <c r="B3" s="1" t="s">
        <v>0</v>
      </c>
      <c r="C3" s="2"/>
      <c r="D3" s="1" t="s">
        <v>16</v>
      </c>
      <c r="E3" s="9">
        <v>0.27</v>
      </c>
    </row>
    <row r="4" spans="2:9" ht="30" customHeight="1" x14ac:dyDescent="0.25">
      <c r="B4" s="1" t="s">
        <v>1</v>
      </c>
      <c r="C4" s="2"/>
      <c r="D4" s="1" t="s">
        <v>11</v>
      </c>
      <c r="E4" s="10" t="str">
        <f>"From "&amp;TEXT(MIN(B9:B19),"m/d/yy")&amp;" to "&amp;TEXT(MAX(B9:B19),"m/d/yy")</f>
        <v>From 5/9/18 to 5/9/18</v>
      </c>
    </row>
    <row r="5" spans="2:9" ht="30" customHeight="1" x14ac:dyDescent="0.25">
      <c r="B5" s="1" t="s">
        <v>18</v>
      </c>
      <c r="C5" s="2"/>
      <c r="D5" s="1" t="s">
        <v>6</v>
      </c>
      <c r="E5" s="8">
        <f>Mileage_Total</f>
        <v>10</v>
      </c>
    </row>
    <row r="6" spans="2:9" ht="30" customHeight="1" x14ac:dyDescent="0.25">
      <c r="B6" s="1" t="s">
        <v>17</v>
      </c>
      <c r="C6" s="2"/>
      <c r="D6" s="1" t="s">
        <v>9</v>
      </c>
      <c r="E6" s="9">
        <f>Reimbursement_Total</f>
        <v>2.7</v>
      </c>
    </row>
    <row r="7" spans="2:9" ht="15" customHeight="1" x14ac:dyDescent="0.2"/>
    <row r="8" spans="2:9" ht="30" customHeight="1" x14ac:dyDescent="0.25">
      <c r="B8" s="6" t="s">
        <v>10</v>
      </c>
      <c r="C8" s="6" t="s">
        <v>3</v>
      </c>
      <c r="D8" s="6" t="s">
        <v>2</v>
      </c>
      <c r="E8" s="6" t="s">
        <v>15</v>
      </c>
      <c r="F8" s="6" t="s">
        <v>4</v>
      </c>
      <c r="G8" s="6" t="s">
        <v>5</v>
      </c>
      <c r="H8" s="6" t="s">
        <v>8</v>
      </c>
      <c r="I8" s="6" t="s">
        <v>7</v>
      </c>
    </row>
    <row r="9" spans="2:9" ht="30" customHeight="1" x14ac:dyDescent="0.2">
      <c r="B9" s="5">
        <v>43229</v>
      </c>
      <c r="C9" s="3" t="s">
        <v>12</v>
      </c>
      <c r="D9" s="3" t="s">
        <v>14</v>
      </c>
      <c r="E9" s="3" t="s">
        <v>13</v>
      </c>
      <c r="F9" s="3">
        <v>36098</v>
      </c>
      <c r="G9" s="3">
        <v>36103</v>
      </c>
      <c r="H9" s="7">
        <f>IFERROR(IF(OR(ISBLANK(F9),ISBLANK(G9)),0,G9-F9), "")</f>
        <v>5</v>
      </c>
      <c r="I9" s="11">
        <f>IFERROR(H9*$E$3, "")</f>
        <v>1.35</v>
      </c>
    </row>
    <row r="10" spans="2:9" ht="30" customHeight="1" x14ac:dyDescent="0.2">
      <c r="B10" s="5">
        <v>43229</v>
      </c>
      <c r="C10" s="3" t="s">
        <v>14</v>
      </c>
      <c r="D10" s="3" t="s">
        <v>12</v>
      </c>
      <c r="E10" s="3" t="s">
        <v>13</v>
      </c>
      <c r="F10" s="3">
        <v>36103</v>
      </c>
      <c r="G10" s="3">
        <v>36108</v>
      </c>
      <c r="H10" s="7">
        <f t="shared" ref="H10:H19" si="0">IFERROR(IF(OR(ISBLANK(F10),ISBLANK(G10)),0,G10-F10), "")</f>
        <v>5</v>
      </c>
      <c r="I10" s="11">
        <f t="shared" ref="I10:I19" si="1">IFERROR(H10*$E$3, "")</f>
        <v>1.35</v>
      </c>
    </row>
    <row r="11" spans="2:9" ht="30" customHeight="1" x14ac:dyDescent="0.2">
      <c r="B11" s="5"/>
      <c r="C11" s="3"/>
      <c r="D11" s="3"/>
      <c r="E11" s="3"/>
      <c r="F11" s="3"/>
      <c r="G11" s="3"/>
      <c r="H11" s="7">
        <f t="shared" si="0"/>
        <v>0</v>
      </c>
      <c r="I11" s="11">
        <f t="shared" si="1"/>
        <v>0</v>
      </c>
    </row>
    <row r="12" spans="2:9" ht="30" customHeight="1" x14ac:dyDescent="0.2">
      <c r="B12" s="5"/>
      <c r="C12" s="3"/>
      <c r="D12" s="3"/>
      <c r="E12" s="3"/>
      <c r="F12" s="3"/>
      <c r="G12" s="3"/>
      <c r="H12" s="7">
        <f t="shared" si="0"/>
        <v>0</v>
      </c>
      <c r="I12" s="11">
        <f t="shared" si="1"/>
        <v>0</v>
      </c>
    </row>
    <row r="13" spans="2:9" ht="30" customHeight="1" x14ac:dyDescent="0.2">
      <c r="B13" s="5"/>
      <c r="C13" s="3"/>
      <c r="D13" s="3"/>
      <c r="E13" s="3"/>
      <c r="F13" s="3"/>
      <c r="G13" s="3"/>
      <c r="H13" s="7">
        <f t="shared" si="0"/>
        <v>0</v>
      </c>
      <c r="I13" s="11">
        <f t="shared" si="1"/>
        <v>0</v>
      </c>
    </row>
    <row r="14" spans="2:9" ht="30" customHeight="1" x14ac:dyDescent="0.2">
      <c r="B14" s="5"/>
      <c r="C14" s="3"/>
      <c r="D14" s="3"/>
      <c r="E14" s="3"/>
      <c r="F14" s="3"/>
      <c r="G14" s="3"/>
      <c r="H14" s="7">
        <f t="shared" si="0"/>
        <v>0</v>
      </c>
      <c r="I14" s="11">
        <f t="shared" si="1"/>
        <v>0</v>
      </c>
    </row>
    <row r="15" spans="2:9" ht="30" customHeight="1" x14ac:dyDescent="0.2">
      <c r="B15" s="5"/>
      <c r="C15" s="3"/>
      <c r="D15" s="3"/>
      <c r="E15" s="3"/>
      <c r="F15" s="3"/>
      <c r="G15" s="3"/>
      <c r="H15" s="7">
        <f t="shared" si="0"/>
        <v>0</v>
      </c>
      <c r="I15" s="11">
        <f t="shared" si="1"/>
        <v>0</v>
      </c>
    </row>
    <row r="16" spans="2:9" ht="30" customHeight="1" x14ac:dyDescent="0.2">
      <c r="B16" s="5"/>
      <c r="C16" s="3"/>
      <c r="D16" s="3"/>
      <c r="E16" s="3"/>
      <c r="F16" s="3"/>
      <c r="G16" s="3"/>
      <c r="H16" s="7">
        <f t="shared" si="0"/>
        <v>0</v>
      </c>
      <c r="I16" s="11">
        <f t="shared" si="1"/>
        <v>0</v>
      </c>
    </row>
    <row r="17" spans="2:9" ht="30" customHeight="1" x14ac:dyDescent="0.2">
      <c r="B17" s="5"/>
      <c r="C17" s="3"/>
      <c r="D17" s="3"/>
      <c r="E17" s="3"/>
      <c r="F17" s="3"/>
      <c r="G17" s="3"/>
      <c r="H17" s="7">
        <f t="shared" si="0"/>
        <v>0</v>
      </c>
      <c r="I17" s="11">
        <f t="shared" si="1"/>
        <v>0</v>
      </c>
    </row>
    <row r="18" spans="2:9" ht="30" customHeight="1" x14ac:dyDescent="0.2">
      <c r="B18" s="5"/>
      <c r="C18" s="3"/>
      <c r="D18" s="3"/>
      <c r="E18" s="3"/>
      <c r="F18" s="3"/>
      <c r="G18" s="3"/>
      <c r="H18" s="7">
        <f t="shared" si="0"/>
        <v>0</v>
      </c>
      <c r="I18" s="11">
        <f t="shared" si="1"/>
        <v>0</v>
      </c>
    </row>
    <row r="19" spans="2:9" ht="30" customHeight="1" x14ac:dyDescent="0.2">
      <c r="B19" s="5"/>
      <c r="C19" s="3"/>
      <c r="D19" s="3"/>
      <c r="E19" s="3"/>
      <c r="F19" s="3"/>
      <c r="G19" s="3"/>
      <c r="H19" s="7">
        <f t="shared" si="0"/>
        <v>0</v>
      </c>
      <c r="I19" s="11">
        <f t="shared" si="1"/>
        <v>0</v>
      </c>
    </row>
    <row r="20" spans="2:9" ht="30" customHeight="1" x14ac:dyDescent="0.25">
      <c r="C20" s="3"/>
      <c r="D20" s="3"/>
      <c r="E20" s="3"/>
      <c r="F20" s="3"/>
      <c r="G20" s="12" t="s">
        <v>19</v>
      </c>
      <c r="H20" s="3">
        <f>SUBTOTAL(109,Expense[Mileage])</f>
        <v>10</v>
      </c>
      <c r="I20" s="11">
        <f>SUBTOTAL(109,Expense[Reimbursement])</f>
        <v>2.7</v>
      </c>
    </row>
  </sheetData>
  <phoneticPr fontId="1" type="noConversion"/>
  <dataValidations count="26">
    <dataValidation allowBlank="1" showInputMessage="1" showErrorMessage="1" prompt="Use this Mileage Log and Expense Report to calculate total reimbursement" sqref="A1"/>
    <dataValidation allowBlank="1" showInputMessage="1" showErrorMessage="1" prompt="Title of this worksheet is in this cell. Enter details in cells B3 to E6" sqref="B1"/>
    <dataValidation allowBlank="1" showInputMessage="1" showErrorMessage="1" prompt="Enter Employee Name in cell at right" sqref="B3"/>
    <dataValidation allowBlank="1" showInputMessage="1" showErrorMessage="1" prompt="Enter Employee Name in this cell" sqref="C3"/>
    <dataValidation allowBlank="1" showInputMessage="1" showErrorMessage="1" prompt="Enter Employee ID in cell at right" sqref="B4"/>
    <dataValidation allowBlank="1" showInputMessage="1" showErrorMessage="1" prompt="Enter Employee ID in this cell" sqref="C4"/>
    <dataValidation allowBlank="1" showInputMessage="1" showErrorMessage="1" prompt="Enter Vehicle Description in cell at right" sqref="B5"/>
    <dataValidation allowBlank="1" showInputMessage="1" showErrorMessage="1" prompt="Enter Vehicle Description in this cell" sqref="C5"/>
    <dataValidation allowBlank="1" showInputMessage="1" showErrorMessage="1" prompt="Enter Authorized by person’s name in cell at right" sqref="B6"/>
    <dataValidation allowBlank="1" showInputMessage="1" showErrorMessage="1" prompt="Enter Authorized by person’s name in this cell" sqref="C6"/>
    <dataValidation allowBlank="1" showInputMessage="1" showErrorMessage="1" prompt="Enter Rate Per Mile in this cell" sqref="E3"/>
    <dataValidation allowBlank="1" showInputMessage="1" showErrorMessage="1" prompt="Enter Rate Per Mile in cell at right" sqref="D3"/>
    <dataValidation allowBlank="1" showInputMessage="1" showErrorMessage="1" prompt="Period is automatically updated in cell at right based on entries in Expenses table, below" sqref="D4"/>
    <dataValidation allowBlank="1" showInputMessage="1" showErrorMessage="1" prompt="Period is automatically updated based on entries in Expense table, below" sqref="E4"/>
    <dataValidation allowBlank="1" showInputMessage="1" showErrorMessage="1" prompt="Total Mileage is automatically calculated in cell at right" sqref="D5"/>
    <dataValidation allowBlank="1" showInputMessage="1" showErrorMessage="1" prompt="Total Mileage is automatically calculated in this cell" sqref="E5"/>
    <dataValidation allowBlank="1" showInputMessage="1" showErrorMessage="1" prompt="Total Reimbursement is automatically calculated in cell at right" sqref="D6"/>
    <dataValidation allowBlank="1" showInputMessage="1" showErrorMessage="1" prompt="Total Reimbursement is automatically calculated in this cell" sqref="E6"/>
    <dataValidation allowBlank="1" showInputMessage="1" showErrorMessage="1" prompt="Enter Date in this column under this heading. Use heading filters to find specific entries" sqref="B8"/>
    <dataValidation allowBlank="1" showInputMessage="1" showErrorMessage="1" prompt="Enter Starting Location in this column under this heading" sqref="C8"/>
    <dataValidation allowBlank="1" showInputMessage="1" showErrorMessage="1" prompt="Enter Destination in this column under this heading" sqref="D8"/>
    <dataValidation allowBlank="1" showInputMessage="1" showErrorMessage="1" prompt="Enter Description or Notes in this column under this heading" sqref="E8"/>
    <dataValidation allowBlank="1" showInputMessage="1" showErrorMessage="1" prompt="Enter Odometer Start reading in this column under this heading" sqref="F8"/>
    <dataValidation allowBlank="1" showInputMessage="1" showErrorMessage="1" prompt="Enter Odometer End reading in this column under this heading" sqref="G8"/>
    <dataValidation allowBlank="1" showInputMessage="1" showErrorMessage="1" prompt="Mileage is automatically calculated in this column under this heading" sqref="H8"/>
    <dataValidation allowBlank="1" showInputMessage="1" showErrorMessage="1" prompt="Reimbursement amount is automatically calculated in this column under this heading" sqref="I8"/>
  </dataValidations>
  <printOptions horizontalCentered="1"/>
  <pageMargins left="0.25" right="0.25" top="0.75" bottom="0.75" header="0.3" footer="0.3"/>
  <pageSetup scale="64" fitToHeight="0" orientation="landscape" r:id="rId1"/>
  <headerFooter differentFirst="1">
    <oddFooter>Page &amp;P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Mileage Log and Expense Report</vt:lpstr>
      <vt:lpstr>ColumnTitle1</vt:lpstr>
      <vt:lpstr>Mileage_Total</vt:lpstr>
      <vt:lpstr>'Mileage Log and Expense Report'!Print_Titles</vt:lpstr>
      <vt:lpstr>Reimbursement_Total</vt:lpstr>
      <vt:lpstr>RowTitleRegion1..C6</vt:lpstr>
      <vt:lpstr>RowTitleRegion2..E6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 </cp:lastModifiedBy>
  <dcterms:created xsi:type="dcterms:W3CDTF">2017-01-11T08:01:48Z</dcterms:created>
  <dcterms:modified xsi:type="dcterms:W3CDTF">2017-01-11T08:01:55Z</dcterms:modified>
</cp:coreProperties>
</file>